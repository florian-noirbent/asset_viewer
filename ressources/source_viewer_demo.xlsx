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  <sheet xmlns:r="http://schemas.openxmlformats.org/officeDocument/2006/relationships" name="Area Reconciliation" sheetId="2" state="visible" r:id="rId2"/>
    <sheet xmlns:r="http://schemas.openxmlformats.org/officeDocument/2006/relationships" name="Valuation In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6F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3" customWidth="1" min="4" max="4"/>
    <col width="17" customWidth="1" min="5" max="5"/>
    <col width="14" customWidth="1" min="6" max="6"/>
    <col width="12" customWidth="1" min="7" max="7"/>
    <col width="13" customWidth="1" min="8" max="8"/>
    <col width="12" customWidth="1" min="9" max="9"/>
  </cols>
  <sheetData>
    <row r="1">
      <c r="A1" s="1" t="inlineStr">
        <is>
          <t>Lease ID</t>
        </is>
      </c>
      <c r="B1" s="1" t="inlineStr">
        <is>
          <t>Tenant</t>
        </is>
      </c>
      <c r="C1" s="1" t="inlineStr">
        <is>
          <t>Unit</t>
        </is>
      </c>
      <c r="D1" s="1" t="inlineStr">
        <is>
          <t>Area SF</t>
        </is>
      </c>
      <c r="E1" s="1" t="inlineStr">
        <is>
          <t>Annual Rent GBP</t>
        </is>
      </c>
      <c r="F1" s="1" t="inlineStr">
        <is>
          <t>Rent PSF GBP</t>
        </is>
      </c>
      <c r="G1" s="1" t="inlineStr">
        <is>
          <t>Start Date</t>
        </is>
      </c>
      <c r="H1" s="1" t="inlineStr">
        <is>
          <t>Expiry Date</t>
        </is>
      </c>
      <c r="I1" s="1" t="inlineStr">
        <is>
          <t>Break Date</t>
        </is>
      </c>
    </row>
    <row r="2">
      <c r="A2" t="inlineStr">
        <is>
          <t>MTP-L-001</t>
        </is>
      </c>
      <c r="B2" t="inlineStr">
        <is>
          <t>Northstar Components Ltd</t>
        </is>
      </c>
      <c r="C2" t="inlineStr">
        <is>
          <t>Units 1-4</t>
        </is>
      </c>
      <c r="D2" t="n">
        <v>12000</v>
      </c>
      <c r="E2" t="n">
        <v>96000</v>
      </c>
      <c r="F2" t="n">
        <v>8</v>
      </c>
      <c r="G2" t="inlineStr">
        <is>
          <t>2025-07-01</t>
        </is>
      </c>
      <c r="H2" t="inlineStr">
        <is>
          <t>2030-06-30</t>
        </is>
      </c>
      <c r="I2" t="inlineStr">
        <is>
          <t>2028-06-30</t>
        </is>
      </c>
    </row>
    <row r="3">
      <c r="A3" t="inlineStr">
        <is>
          <t>MTP-L-002</t>
        </is>
      </c>
      <c r="B3" t="inlineStr">
        <is>
          <t>Greenline Fulfilment Ltd</t>
        </is>
      </c>
      <c r="C3" t="inlineStr">
        <is>
          <t>Units 5-8</t>
        </is>
      </c>
      <c r="D3" t="n">
        <v>8000</v>
      </c>
      <c r="E3" t="n">
        <v>76000</v>
      </c>
      <c r="F3" t="n">
        <v>9.5</v>
      </c>
      <c r="G3" t="inlineStr">
        <is>
          <t>2024-04-01</t>
        </is>
      </c>
      <c r="H3" t="inlineStr">
        <is>
          <t>2029-03-31</t>
        </is>
      </c>
      <c r="I3" t="inlineStr"/>
    </row>
    <row r="4">
      <c r="A4" t="inlineStr">
        <is>
          <t>TOTAL</t>
        </is>
      </c>
      <c r="B4" t="inlineStr"/>
      <c r="C4" t="inlineStr"/>
      <c r="D4">
        <f>SUM(D2:D3)</f>
        <v/>
      </c>
      <c r="E4">
        <f>SUM(E2:E3)</f>
        <v/>
      </c>
      <c r="F4">
        <f>E4/D4</f>
        <v/>
      </c>
      <c r="G4" t="inlineStr"/>
      <c r="H4" t="inlineStr"/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3" customWidth="1" min="4" max="4"/>
    <col width="42" customWidth="1" min="5" max="5"/>
  </cols>
  <sheetData>
    <row r="1">
      <c r="A1" s="1" t="inlineStr">
        <is>
          <t>Source</t>
        </is>
      </c>
      <c r="B1" s="1" t="inlineStr">
        <is>
          <t>Warehouse SF</t>
        </is>
      </c>
      <c r="C1" s="1" t="inlineStr">
        <is>
          <t>Office SF</t>
        </is>
      </c>
      <c r="D1" s="1" t="inlineStr">
        <is>
          <t>Total SF</t>
        </is>
      </c>
      <c r="E1" s="1" t="inlineStr">
        <is>
          <t>Notes</t>
        </is>
      </c>
    </row>
    <row r="2">
      <c r="A2" t="inlineStr">
        <is>
          <t>Brochure PDF page 1</t>
        </is>
      </c>
      <c r="B2" t="n">
        <v>17700</v>
      </c>
      <c r="C2" t="n">
        <v>2300</v>
      </c>
      <c r="D2" t="n">
        <v>20000</v>
      </c>
      <c r="E2" t="inlineStr">
        <is>
          <t>Brochure states total GIA of 20,000 sq ft</t>
        </is>
      </c>
    </row>
    <row r="3">
      <c r="A3" t="inlineStr">
        <is>
          <t>Rent roll CSV rows 2-3</t>
        </is>
      </c>
      <c r="B3" t="n">
        <v>17700</v>
      </c>
      <c r="C3" t="n">
        <v>2300</v>
      </c>
      <c r="D3" t="n">
        <v>20000</v>
      </c>
      <c r="E3" t="inlineStr">
        <is>
          <t>Sum of leased areas equals asset GIA</t>
        </is>
      </c>
    </row>
    <row r="4">
      <c r="A4" t="inlineStr">
        <is>
          <t>Measured survey</t>
        </is>
      </c>
      <c r="B4" t="n">
        <v>17680</v>
      </c>
      <c r="C4" t="n">
        <v>2320</v>
      </c>
      <c r="D4" t="n">
        <v>20000</v>
      </c>
      <c r="E4" t="inlineStr">
        <is>
          <t>Survey variance allocated to office area</t>
        </is>
      </c>
    </row>
    <row r="5">
      <c r="A5" t="inlineStr">
        <is>
          <t>Adopted total</t>
        </is>
      </c>
      <c r="B5">
        <f>B2</f>
        <v/>
      </c>
      <c r="C5">
        <f>C2</f>
        <v/>
      </c>
      <c r="D5">
        <f>SUM(B5:C5)</f>
        <v/>
      </c>
      <c r="E5" t="inlineStr">
        <is>
          <t>Adopted for source viewer composite fixture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42" customWidth="1" min="4" max="4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 Note</t>
        </is>
      </c>
    </row>
    <row r="2">
      <c r="A2" t="inlineStr">
        <is>
          <t>Gross rent</t>
        </is>
      </c>
      <c r="B2" t="n">
        <v>172000</v>
      </c>
      <c r="C2" t="inlineStr">
        <is>
          <t>GBP pa</t>
        </is>
      </c>
      <c r="D2" t="inlineStr">
        <is>
          <t>Rent Roll E4</t>
        </is>
      </c>
    </row>
    <row r="3">
      <c r="A3" t="inlineStr">
        <is>
          <t>Total area</t>
        </is>
      </c>
      <c r="B3" t="n">
        <v>20000</v>
      </c>
      <c r="C3" t="inlineStr">
        <is>
          <t>sq ft</t>
        </is>
      </c>
      <c r="D3" t="inlineStr">
        <is>
          <t>Area Reconciliation D5</t>
        </is>
      </c>
    </row>
    <row r="4">
      <c r="A4" t="inlineStr">
        <is>
          <t>Weighted rent</t>
        </is>
      </c>
      <c r="B4">
        <f>B2/B3</f>
        <v/>
      </c>
      <c r="C4" t="inlineStr">
        <is>
          <t>GBP psf</t>
        </is>
      </c>
      <c r="D4" t="inlineStr">
        <is>
          <t>Gross rent divided by total area</t>
        </is>
      </c>
    </row>
    <row r="5">
      <c r="A5" t="inlineStr">
        <is>
          <t>ERV</t>
        </is>
      </c>
      <c r="B5" t="n">
        <v>184000</v>
      </c>
      <c r="C5" t="inlineStr">
        <is>
          <t>GBP pa</t>
        </is>
      </c>
      <c r="D5" t="inlineStr">
        <is>
          <t>External valuer assumption page 2</t>
        </is>
      </c>
    </row>
    <row r="6">
      <c r="A6" t="inlineStr">
        <is>
          <t>WALT</t>
        </is>
      </c>
      <c r="B6" t="n">
        <v>3.7</v>
      </c>
      <c r="C6" t="inlineStr">
        <is>
          <t>years</t>
        </is>
      </c>
      <c r="D6" t="inlineStr">
        <is>
          <t>Weighted by current gross rent as at 2026-04-01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2026-05-30T09:41:04Z</dcterms:created>
  <dcterms:modified xmlns:dcterms="http://purl.org/dc/terms/" xmlns:xsi="http://www.w3.org/2001/XMLSchema-instance" xsi:type="dcterms:W3CDTF">2026-05-30T09:41:04Z</dcterms:modified>
</cp:coreProperties>
</file>